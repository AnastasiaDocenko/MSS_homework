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-108" yWindow="-108" windowWidth="23256" windowHeight="12576" tabRatio="599" activeTab="2"/>
  </bookViews>
  <sheets>
    <sheet name="Лист1" sheetId="2" r:id="rId1"/>
    <sheet name="Лист2" sheetId="6" r:id="rId2"/>
    <sheet name="Лист3" sheetId="1" r:id="rId3"/>
  </sheets>
  <calcPr calcId="18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/>
  <c r="J18" s="1"/>
  <c r="K18" s="1"/>
  <c r="L18" s="1"/>
  <c r="M18" s="1"/>
  <c r="N18" s="1"/>
  <c r="O18" s="1"/>
  <c r="P18" s="1"/>
  <c r="Q18" s="1"/>
  <c r="R18" s="1"/>
  <c r="S18" s="1"/>
  <c r="T18" s="1"/>
  <c r="U18" s="1"/>
  <c r="V18" s="1"/>
  <c r="W18" s="1"/>
  <c r="X18" s="1"/>
  <c r="Y18" s="1"/>
  <c r="Z18" s="1"/>
  <c r="AA18" s="1"/>
  <c r="AB18" s="1"/>
  <c r="AC18" s="1"/>
  <c r="AD18" s="1"/>
  <c r="AE18" s="1"/>
  <c r="AF18" s="1"/>
  <c r="AG18" s="1"/>
  <c r="AH18" s="1"/>
  <c r="AI18" s="1"/>
  <c r="H18"/>
  <c r="G18"/>
  <c r="B17"/>
  <c r="F12"/>
  <c r="B3"/>
  <c r="I17" s="1"/>
  <c r="H17"/>
  <c r="L17"/>
  <c r="P17"/>
  <c r="T17"/>
  <c r="X17"/>
  <c r="AB17"/>
  <c r="AF17"/>
  <c r="AH17"/>
  <c r="AJ17"/>
  <c r="B3" i="6"/>
  <c r="B18" i="1"/>
  <c r="B16"/>
  <c r="F15" i="6"/>
  <c r="AI17" i="1" l="1"/>
  <c r="AE17"/>
  <c r="AA17"/>
  <c r="W17"/>
  <c r="S17"/>
  <c r="O17"/>
  <c r="K17"/>
  <c r="G17"/>
  <c r="G19" s="1"/>
  <c r="H19" s="1"/>
  <c r="I19" s="1"/>
  <c r="AD17"/>
  <c r="Z17"/>
  <c r="V17"/>
  <c r="R17"/>
  <c r="N17"/>
  <c r="J17"/>
  <c r="AG17"/>
  <c r="AC17"/>
  <c r="Y17"/>
  <c r="U17"/>
  <c r="Q17"/>
  <c r="M17"/>
  <c r="B2" i="6"/>
  <c r="AG15" i="2"/>
  <c r="Y15"/>
  <c r="U15"/>
  <c r="Q15"/>
  <c r="I15"/>
  <c r="AJ12"/>
  <c r="B3"/>
  <c r="AF14" s="1"/>
  <c r="B2"/>
  <c r="AI15" s="1"/>
  <c r="J19" i="1" l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I15" i="6"/>
  <c r="M15"/>
  <c r="Q15"/>
  <c r="U15"/>
  <c r="Y15"/>
  <c r="AC15"/>
  <c r="AG15"/>
  <c r="J15"/>
  <c r="N15"/>
  <c r="R15"/>
  <c r="V15"/>
  <c r="Z15"/>
  <c r="AD15"/>
  <c r="AH15"/>
  <c r="K15"/>
  <c r="O15"/>
  <c r="S15"/>
  <c r="W15"/>
  <c r="AA15"/>
  <c r="AE15"/>
  <c r="AI15"/>
  <c r="H15"/>
  <c r="L15"/>
  <c r="P15"/>
  <c r="T15"/>
  <c r="X15"/>
  <c r="AB15"/>
  <c r="AF15"/>
  <c r="F12"/>
  <c r="G15" s="1"/>
  <c r="M15" i="2"/>
  <c r="AC15"/>
  <c r="G11" i="6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N14" i="2"/>
  <c r="V14"/>
  <c r="AD14"/>
  <c r="AH14"/>
  <c r="F12"/>
  <c r="G15" s="1"/>
  <c r="I14"/>
  <c r="M14"/>
  <c r="Q14"/>
  <c r="U14"/>
  <c r="Y14"/>
  <c r="AC14"/>
  <c r="AG14"/>
  <c r="H15"/>
  <c r="L15"/>
  <c r="P15"/>
  <c r="T15"/>
  <c r="X15"/>
  <c r="AB15"/>
  <c r="AF15"/>
  <c r="J14"/>
  <c r="R14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G14"/>
  <c r="K14"/>
  <c r="O14"/>
  <c r="S14"/>
  <c r="W14"/>
  <c r="AA14"/>
  <c r="AE14"/>
  <c r="AI14"/>
  <c r="J15"/>
  <c r="N15"/>
  <c r="R15"/>
  <c r="V15"/>
  <c r="Z15"/>
  <c r="AD15"/>
  <c r="AH15"/>
  <c r="Z14"/>
  <c r="H14"/>
  <c r="L14"/>
  <c r="P14"/>
  <c r="T14"/>
  <c r="X14"/>
  <c r="AB14"/>
  <c r="K15"/>
  <c r="O15"/>
  <c r="S15"/>
  <c r="W15"/>
  <c r="AA15"/>
  <c r="AE15"/>
  <c r="AI14" i="1" l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  <c r="H14" i="6"/>
  <c r="I14"/>
  <c r="M14"/>
  <c r="Q14"/>
  <c r="U14"/>
  <c r="Y14"/>
  <c r="AC14"/>
  <c r="AG14"/>
  <c r="N14"/>
  <c r="R14"/>
  <c r="V14"/>
  <c r="Z14"/>
  <c r="AD14"/>
  <c r="AH14"/>
  <c r="O14"/>
  <c r="S14"/>
  <c r="W14"/>
  <c r="AA14"/>
  <c r="AE14"/>
  <c r="AI14"/>
  <c r="L14"/>
  <c r="P14"/>
  <c r="T14"/>
  <c r="X14"/>
  <c r="AB14"/>
  <c r="AF14"/>
  <c r="J14"/>
  <c r="K14"/>
  <c r="G14"/>
  <c r="AJ12" i="1"/>
  <c r="B2"/>
  <c r="M15" l="1"/>
  <c r="J15"/>
  <c r="N15"/>
  <c r="R15"/>
  <c r="V15"/>
  <c r="Z15"/>
  <c r="AD15"/>
  <c r="AH15"/>
  <c r="K15"/>
  <c r="S15"/>
  <c r="W15"/>
  <c r="AE15"/>
  <c r="AI15"/>
  <c r="H15"/>
  <c r="L15"/>
  <c r="T15"/>
  <c r="AB15"/>
  <c r="G15"/>
  <c r="Q15"/>
  <c r="Y15"/>
  <c r="AC15"/>
  <c r="O15"/>
  <c r="AA15"/>
  <c r="P15"/>
  <c r="X15"/>
  <c r="AF15"/>
  <c r="I15"/>
  <c r="U15"/>
  <c r="AG15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</calcChain>
</file>

<file path=xl/sharedStrings.xml><?xml version="1.0" encoding="utf-8"?>
<sst xmlns="http://schemas.openxmlformats.org/spreadsheetml/2006/main" count="50" uniqueCount="21">
  <si>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</si>
  <si>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</si>
  <si>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</si>
  <si>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</si>
  <si>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</si>
  <si>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</si>
  <si>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</si>
  <si>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</si>
  <si>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</si>
  <si>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</si>
  <si>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</si>
  <si>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</si>
  <si>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</si>
  <si>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</si>
  <si>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r>
      <rPr>
        <sz val="11"/>
        <color theme="1"/>
        <rFont val="Calibri"/>
        <family val="2"/>
        <charset val="204"/>
      </rPr>
      <t>∆</t>
    </r>
    <r>
      <rPr>
        <sz val="9.35"/>
        <color theme="1"/>
        <rFont val="Calibri"/>
        <family val="2"/>
        <charset val="204"/>
      </rPr>
      <t>T</t>
    </r>
  </si>
  <si>
    <t>A</t>
  </si>
  <si>
    <t>B</t>
  </si>
  <si>
    <t>C</t>
  </si>
  <si>
    <t>F</t>
  </si>
  <si>
    <t>β</t>
  </si>
  <si>
    <t>T_start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</si>
</sst>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.35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0" xfId="0" applyFont="1"/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9E-2"/>
          <c:w val="0.84390802318774893"/>
          <c:h val="0.71585209494280067"/>
        </c:manualLayout>
      </c:layout>
      <c:lineChart>
        <c:grouping val="standard"/>
        <c:ser>
          <c:idx val="0"/>
          <c:order val="0"/>
          <c:tx>
            <c:strRef>
              <c:f>Лист1!$E$12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/>
        <c:marker val="1"/>
        <c:axId val="84922368"/>
        <c:axId val="84924288"/>
      </c:lineChart>
      <c:catAx>
        <c:axId val="84922368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924288"/>
        <c:crosses val="autoZero"/>
        <c:auto val="1"/>
        <c:lblAlgn val="ctr"/>
        <c:lblOffset val="100"/>
      </c:catAx>
      <c:valAx>
        <c:axId val="849242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92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9E-2"/>
          <c:w val="0.84390802318774893"/>
          <c:h val="0.71585209494280067"/>
        </c:manualLayout>
      </c:layout>
      <c:lineChart>
        <c:grouping val="standard"/>
        <c:ser>
          <c:idx val="0"/>
          <c:order val="0"/>
          <c:tx>
            <c:strRef>
              <c:f>Лист2!$E$12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Лист2!$F$11:$AJ$11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Лист2!$F$12:$AJ$12</c:f>
              <c:numCache>
                <c:formatCode>General</c:formatCode>
                <c:ptCount val="31"/>
                <c:pt idx="0">
                  <c:v>30.284266457552157</c:v>
                </c:pt>
                <c:pt idx="1">
                  <c:v>29.919049066247808</c:v>
                </c:pt>
                <c:pt idx="2">
                  <c:v>29.555737256709378</c:v>
                </c:pt>
                <c:pt idx="3">
                  <c:v>29.194325622842673</c:v>
                </c:pt>
                <c:pt idx="4">
                  <c:v>28.834803385794878</c:v>
                </c:pt>
                <c:pt idx="5">
                  <c:v>28.477154388689634</c:v>
                </c:pt>
                <c:pt idx="6">
                  <c:v>28.121357195645722</c:v>
                </c:pt>
                <c:pt idx="7">
                  <c:v>27.767385082520629</c:v>
                </c:pt>
                <c:pt idx="8">
                  <c:v>27.41520619868696</c:v>
                </c:pt>
                <c:pt idx="9">
                  <c:v>27.064783556262103</c:v>
                </c:pt>
                <c:pt idx="10">
                  <c:v>26.716075249894292</c:v>
                </c:pt>
                <c:pt idx="11">
                  <c:v>26.369034448024806</c:v>
                </c:pt>
                <c:pt idx="12">
                  <c:v>26.02360966429848</c:v>
                </c:pt>
                <c:pt idx="13">
                  <c:v>25.679744755278794</c:v>
                </c:pt>
                <c:pt idx="14">
                  <c:v>25.337379235708845</c:v>
                </c:pt>
                <c:pt idx="15">
                  <c:v>24.996448287728214</c:v>
                </c:pt>
                <c:pt idx="16">
                  <c:v>24.65688311112207</c:v>
                </c:pt>
                <c:pt idx="17">
                  <c:v>24.318610949433044</c:v>
                </c:pt>
                <c:pt idx="18">
                  <c:v>23.981555465587277</c:v>
                </c:pt>
                <c:pt idx="19">
                  <c:v>23.64563679032927</c:v>
                </c:pt>
                <c:pt idx="20">
                  <c:v>23.310771913228827</c:v>
                </c:pt>
                <c:pt idx="21">
                  <c:v>22.976874758581392</c:v>
                </c:pt>
                <c:pt idx="22">
                  <c:v>22.64385658178751</c:v>
                </c:pt>
                <c:pt idx="23">
                  <c:v>22.31162607726036</c:v>
                </c:pt>
                <c:pt idx="24">
                  <c:v>21.980089770522596</c:v>
                </c:pt>
                <c:pt idx="25">
                  <c:v>21.649152161766242</c:v>
                </c:pt>
                <c:pt idx="26">
                  <c:v>21.318716104707818</c:v>
                </c:pt>
                <c:pt idx="27">
                  <c:v>20.988682988288005</c:v>
                </c:pt>
                <c:pt idx="28">
                  <c:v>20.658953094327579</c:v>
                </c:pt>
                <c:pt idx="29">
                  <c:v>20.329425818482378</c:v>
                </c:pt>
                <c:pt idx="30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/>
        <c:marker val="1"/>
        <c:axId val="115149056"/>
        <c:axId val="115159424"/>
      </c:lineChart>
      <c:catAx>
        <c:axId val="115149056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159424"/>
        <c:crosses val="autoZero"/>
        <c:auto val="1"/>
        <c:lblAlgn val="ctr"/>
        <c:lblOffset val="100"/>
      </c:catAx>
      <c:valAx>
        <c:axId val="11515942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14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2843364918368258"/>
          <c:y val="0.10119726238550358"/>
          <c:w val="0.84390802318774893"/>
          <c:h val="0.71585209494280067"/>
        </c:manualLayout>
      </c:layout>
      <c:lineChart>
        <c:grouping val="standard"/>
        <c:ser>
          <c:idx val="0"/>
          <c:order val="0"/>
          <c:tx>
            <c:strRef>
              <c:f>Лист3!$E$12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Лист3!$F$11:$AJ$11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Лист3!$F$12:$AJ$12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187.48852069684807</c:v>
                </c:pt>
                <c:pt idx="2">
                  <c:v>74.977041393696126</c:v>
                </c:pt>
                <c:pt idx="3">
                  <c:v>30.486313527758579</c:v>
                </c:pt>
                <c:pt idx="4">
                  <c:v>12.380212299433119</c:v>
                </c:pt>
                <c:pt idx="5">
                  <c:v>5.0344534770960827</c:v>
                </c:pt>
                <c:pt idx="6">
                  <c:v>2.0558120592583942</c:v>
                </c:pt>
                <c:pt idx="7">
                  <c:v>0.85140760684117234</c:v>
                </c:pt>
                <c:pt idx="8">
                  <c:v>0.36911720002259618</c:v>
                </c:pt>
                <c:pt idx="9">
                  <c:v>0.18257589700424218</c:v>
                </c:pt>
                <c:pt idx="10">
                  <c:v>0.11972915063933059</c:v>
                </c:pt>
                <c:pt idx="11">
                  <c:v>0.11216281004228315</c:v>
                </c:pt>
                <c:pt idx="12">
                  <c:v>0.13409801884099432</c:v>
                </c:pt>
                <c:pt idx="13">
                  <c:v>0.17784790906695849</c:v>
                </c:pt>
                <c:pt idx="14">
                  <c:v>0.2441629418819973</c:v>
                </c:pt>
                <c:pt idx="15">
                  <c:v>0.33874165051731914</c:v>
                </c:pt>
                <c:pt idx="16">
                  <c:v>0.47141338804211014</c:v>
                </c:pt>
                <c:pt idx="17">
                  <c:v>0.65664151311556229</c:v>
                </c:pt>
                <c:pt idx="18">
                  <c:v>0.9148911032911049</c:v>
                </c:pt>
                <c:pt idx="19">
                  <c:v>1.2748053662254457</c:v>
                </c:pt>
                <c:pt idx="20">
                  <c:v>1.7763481806215706</c:v>
                </c:pt>
                <c:pt idx="21">
                  <c:v>2.4752276281813179</c:v>
                </c:pt>
                <c:pt idx="22">
                  <c:v>3.4490780203849871</c:v>
                </c:pt>
                <c:pt idx="23">
                  <c:v>4.8060815288483791</c:v>
                </c:pt>
                <c:pt idx="24">
                  <c:v>6.6969848912401098</c:v>
                </c:pt>
                <c:pt idx="25">
                  <c:v>9.3318451786147065</c:v>
                </c:pt>
                <c:pt idx="26">
                  <c:v>13.003364505841052</c:v>
                </c:pt>
                <c:pt idx="27">
                  <c:v>18.119405745633557</c:v>
                </c:pt>
                <c:pt idx="28">
                  <c:v>25.248301299962471</c:v>
                </c:pt>
                <c:pt idx="29">
                  <c:v>35.181988178794683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7A-4D54-B35A-087F2D25DD7C}"/>
            </c:ext>
          </c:extLst>
        </c:ser>
        <c:dLbls/>
        <c:marker val="1"/>
        <c:axId val="84415232"/>
        <c:axId val="84417152"/>
      </c:lineChart>
      <c:catAx>
        <c:axId val="84415232"/>
        <c:scaling>
          <c:orientation val="minMax"/>
        </c:scaling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417152"/>
        <c:crosses val="autoZero"/>
        <c:auto val="1"/>
        <c:lblAlgn val="ctr"/>
        <c:lblOffset val="100"/>
      </c:catAx>
      <c:valAx>
        <c:axId val="844171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4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28847</xdr:rowOff>
    </xdr:from>
    <xdr:to>
      <xdr:col>10</xdr:col>
      <xdr:colOff>359229</xdr:colOff>
      <xdr:row>44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62753</xdr:colOff>
      <xdr:row>18</xdr:row>
      <xdr:rowOff>41014</xdr:rowOff>
    </xdr:from>
    <xdr:to>
      <xdr:col>9</xdr:col>
      <xdr:colOff>153297</xdr:colOff>
      <xdr:row>40</xdr:row>
      <xdr:rowOff>17929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23</xdr:row>
      <xdr:rowOff>11430</xdr:rowOff>
    </xdr:from>
    <xdr:to>
      <xdr:col>10</xdr:col>
      <xdr:colOff>152400</xdr:colOff>
      <xdr:row>45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AJ15"/>
  <sheetViews>
    <sheetView zoomScale="70" zoomScaleNormal="70" workbookViewId="0">
      <selection activeCell="T48" sqref="T48"/>
    </sheetView>
  </sheetViews>
  <sheetFormatPr defaultRowHeight="14.4"/>
  <cols>
    <col min="2" max="2" width="10.44140625" bestFit="1" customWidth="1"/>
  </cols>
  <sheetData>
    <row r="1" spans="1:36">
      <c r="A1" s="1" t="s">
        <v>0</v>
      </c>
      <c r="B1" s="1">
        <v>0.1</v>
      </c>
    </row>
    <row r="2" spans="1:36">
      <c r="A2" s="1" t="s">
        <v>1</v>
      </c>
      <c r="B2" s="2">
        <f>0.1/30</f>
        <v>3.3333333333333335E-3</v>
      </c>
    </row>
    <row r="3" spans="1:36">
      <c r="A3" s="1" t="s">
        <v>2</v>
      </c>
      <c r="B3" s="3">
        <f>B6*B7*B2^2/(2*B8)</f>
        <v>0.4333333333333334</v>
      </c>
    </row>
    <row r="4" spans="1:36">
      <c r="A4" s="1" t="s">
        <v>3</v>
      </c>
      <c r="B4" s="1">
        <v>5000</v>
      </c>
      <c r="C4">
        <v>5000.2333333333345</v>
      </c>
    </row>
    <row r="5" spans="1:36">
      <c r="A5" s="4"/>
      <c r="B5" s="4"/>
    </row>
    <row r="6" spans="1:36">
      <c r="A6" s="1" t="s">
        <v>4</v>
      </c>
      <c r="B6" s="1">
        <v>460</v>
      </c>
    </row>
    <row r="7" spans="1:36">
      <c r="A7" s="1" t="s">
        <v>5</v>
      </c>
      <c r="B7" s="1">
        <v>7800</v>
      </c>
    </row>
    <row r="8" spans="1:36">
      <c r="A8" s="1" t="s">
        <v>6</v>
      </c>
      <c r="B8" s="1">
        <v>46</v>
      </c>
    </row>
    <row r="9" spans="1:36">
      <c r="A9" s="4"/>
      <c r="B9" s="4"/>
    </row>
    <row r="10" spans="1:36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 val="0"/>
        <cfvo type="percentile" val="50"/>
        <cfvo type="max" val="0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J15"/>
  <sheetViews>
    <sheetView topLeftCell="A13" zoomScale="85" zoomScaleNormal="85" workbookViewId="0">
      <selection activeCell="B3" sqref="B3"/>
    </sheetView>
  </sheetViews>
  <sheetFormatPr defaultRowHeight="14.4"/>
  <cols>
    <col min="2" max="2" width="10.44140625" bestFit="1" customWidth="1"/>
  </cols>
  <sheetData>
    <row r="1" spans="1:36">
      <c r="A1" s="1" t="s">
        <v>0</v>
      </c>
      <c r="B1" s="1">
        <v>0.1</v>
      </c>
    </row>
    <row r="2" spans="1:36">
      <c r="A2" s="1" t="s">
        <v>1</v>
      </c>
      <c r="B2" s="2">
        <f>0.1/30</f>
        <v>3.3333333333333335E-3</v>
      </c>
    </row>
    <row r="3" spans="1:36">
      <c r="A3" s="1" t="s">
        <v>2</v>
      </c>
      <c r="B3" s="3">
        <f>B6*B7*B2^2/(2*B8)</f>
        <v>0.4333333333333334</v>
      </c>
    </row>
    <row r="4" spans="1:36">
      <c r="A4" s="1" t="s">
        <v>3</v>
      </c>
      <c r="B4" s="1">
        <v>1000</v>
      </c>
      <c r="C4">
        <v>1000.1333333333334</v>
      </c>
    </row>
    <row r="5" spans="1:36">
      <c r="A5" s="4"/>
      <c r="B5" s="4"/>
    </row>
    <row r="6" spans="1:36">
      <c r="A6" s="1" t="s">
        <v>4</v>
      </c>
      <c r="B6" s="1">
        <v>460</v>
      </c>
    </row>
    <row r="7" spans="1:36">
      <c r="A7" s="1" t="s">
        <v>5</v>
      </c>
      <c r="B7" s="1">
        <v>7800</v>
      </c>
    </row>
    <row r="8" spans="1:36">
      <c r="A8" s="1" t="s">
        <v>6</v>
      </c>
      <c r="B8" s="1">
        <v>46</v>
      </c>
    </row>
    <row r="9" spans="1:36">
      <c r="A9" s="4"/>
      <c r="B9" s="4"/>
    </row>
    <row r="10" spans="1:36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>
      <c r="A12" s="1" t="s">
        <v>8</v>
      </c>
      <c r="B12" s="1">
        <v>100</v>
      </c>
      <c r="E12" s="1" t="s">
        <v>7</v>
      </c>
      <c r="F12" s="1">
        <f>G12+($B$14*($B$12-$B$15)*$B$2)/$B$8</f>
        <v>30.284266457552157</v>
      </c>
      <c r="G12" s="1">
        <v>29.919049066247808</v>
      </c>
      <c r="H12" s="1">
        <v>29.555737256709378</v>
      </c>
      <c r="I12" s="1">
        <v>29.194325622842673</v>
      </c>
      <c r="J12" s="1">
        <v>28.834803385794878</v>
      </c>
      <c r="K12" s="1">
        <v>28.477154388689634</v>
      </c>
      <c r="L12" s="1">
        <v>28.121357195645722</v>
      </c>
      <c r="M12" s="1">
        <v>27.767385082520629</v>
      </c>
      <c r="N12" s="1">
        <v>27.41520619868696</v>
      </c>
      <c r="O12" s="1">
        <v>27.064783556262103</v>
      </c>
      <c r="P12" s="1">
        <v>26.716075249894292</v>
      </c>
      <c r="Q12" s="1">
        <v>26.369034448024806</v>
      </c>
      <c r="R12" s="1">
        <v>26.02360966429848</v>
      </c>
      <c r="S12" s="1">
        <v>25.679744755278794</v>
      </c>
      <c r="T12" s="1">
        <v>25.337379235708845</v>
      </c>
      <c r="U12" s="1">
        <v>24.996448287728214</v>
      </c>
      <c r="V12" s="1">
        <v>24.65688311112207</v>
      </c>
      <c r="W12" s="1">
        <v>24.318610949433044</v>
      </c>
      <c r="X12" s="1">
        <v>23.981555465587277</v>
      </c>
      <c r="Y12" s="1">
        <v>23.64563679032927</v>
      </c>
      <c r="Z12" s="1">
        <v>23.310771913228827</v>
      </c>
      <c r="AA12" s="1">
        <v>22.976874758581392</v>
      </c>
      <c r="AB12" s="1">
        <v>22.64385658178751</v>
      </c>
      <c r="AC12" s="1">
        <v>22.31162607726036</v>
      </c>
      <c r="AD12" s="1">
        <v>21.980089770522596</v>
      </c>
      <c r="AE12" s="1">
        <v>21.649152161766242</v>
      </c>
      <c r="AF12" s="1">
        <v>21.318716104707818</v>
      </c>
      <c r="AG12" s="1">
        <v>20.988682988288005</v>
      </c>
      <c r="AH12" s="1">
        <v>20.658953094327579</v>
      </c>
      <c r="AI12" s="1">
        <v>20.329425818482378</v>
      </c>
      <c r="AJ12" s="1">
        <v>20</v>
      </c>
    </row>
    <row r="14" spans="1:36">
      <c r="A14" s="6" t="s">
        <v>12</v>
      </c>
      <c r="B14" s="7">
        <v>63</v>
      </c>
      <c r="E14" t="s">
        <v>9</v>
      </c>
      <c r="G14">
        <f>G12+(($B$8*$B$3)/($B$7*$B$6))*(H12-2*G12+F12)/$B$2^2</f>
        <v>29.920001857130767</v>
      </c>
      <c r="H14">
        <f t="shared" ref="H14:AI14" si="1">H12+(($B$8*$B$3)/($B$7*$B$6))*(I12-2*H12+G12)/$B$2^2</f>
        <v>29.556687344545239</v>
      </c>
      <c r="I14">
        <f t="shared" si="1"/>
        <v>29.195270321252128</v>
      </c>
      <c r="J14">
        <f t="shared" si="1"/>
        <v>28.835740005766155</v>
      </c>
      <c r="K14">
        <f t="shared" si="1"/>
        <v>28.4780802907203</v>
      </c>
      <c r="L14">
        <f t="shared" si="1"/>
        <v>28.12226973560513</v>
      </c>
      <c r="M14">
        <f t="shared" si="1"/>
        <v>27.768281697166341</v>
      </c>
      <c r="N14">
        <f t="shared" si="1"/>
        <v>27.416084319391366</v>
      </c>
      <c r="O14">
        <f t="shared" si="1"/>
        <v>27.065640724290624</v>
      </c>
      <c r="P14">
        <f t="shared" si="1"/>
        <v>26.716909002143453</v>
      </c>
      <c r="Q14">
        <f t="shared" si="1"/>
        <v>26.369842457096386</v>
      </c>
      <c r="R14">
        <f t="shared" si="1"/>
        <v>26.024389601651798</v>
      </c>
      <c r="S14">
        <f t="shared" si="1"/>
        <v>25.680494450003664</v>
      </c>
      <c r="T14">
        <f t="shared" si="1"/>
        <v>25.338096521503502</v>
      </c>
      <c r="U14">
        <f t="shared" si="1"/>
        <v>24.997131173415458</v>
      </c>
      <c r="V14">
        <f t="shared" si="1"/>
        <v>24.657529618580629</v>
      </c>
      <c r="W14">
        <f t="shared" si="1"/>
        <v>24.319219288354674</v>
      </c>
      <c r="X14">
        <f t="shared" si="1"/>
        <v>23.982123869881157</v>
      </c>
      <c r="Y14">
        <f t="shared" si="1"/>
        <v>23.646163689408052</v>
      </c>
      <c r="Z14">
        <f t="shared" si="1"/>
        <v>23.311255774455333</v>
      </c>
      <c r="AA14">
        <f t="shared" si="1"/>
        <v>22.977314247508168</v>
      </c>
      <c r="AB14">
        <f t="shared" si="1"/>
        <v>22.644250417920876</v>
      </c>
      <c r="AC14">
        <f t="shared" si="1"/>
        <v>22.311973176155053</v>
      </c>
      <c r="AD14">
        <f t="shared" si="1"/>
        <v>21.980389119513301</v>
      </c>
      <c r="AE14">
        <f t="shared" si="1"/>
        <v>21.649402937615207</v>
      </c>
      <c r="AF14">
        <f t="shared" si="1"/>
        <v>21.318917575027122</v>
      </c>
      <c r="AG14">
        <f t="shared" si="1"/>
        <v>20.988834599517698</v>
      </c>
      <c r="AH14">
        <f t="shared" si="1"/>
        <v>20.659054403385191</v>
      </c>
      <c r="AI14">
        <f t="shared" si="1"/>
        <v>20.329476547163789</v>
      </c>
    </row>
    <row r="15" spans="1:36">
      <c r="A15" s="8" t="s">
        <v>13</v>
      </c>
      <c r="B15" s="7">
        <v>20</v>
      </c>
      <c r="E15" s="9" t="s">
        <v>14</v>
      </c>
      <c r="F15">
        <f>B12-B15</f>
        <v>80</v>
      </c>
      <c r="G15">
        <f>(F12-G12)*$B$8/($B$14*$B$2)</f>
        <v>80.000000000000114</v>
      </c>
      <c r="H15">
        <f t="shared" ref="H15:AI15" si="2">(G12-H12)*$B$8/($B$14*$B$2)</f>
        <v>79.582586851275238</v>
      </c>
      <c r="I15">
        <f t="shared" si="2"/>
        <v>79.166357894611622</v>
      </c>
      <c r="J15">
        <f t="shared" si="2"/>
        <v>78.752490019993147</v>
      </c>
      <c r="K15">
        <f t="shared" si="2"/>
        <v>78.342161270672463</v>
      </c>
      <c r="L15">
        <f t="shared" si="2"/>
        <v>77.93652800009508</v>
      </c>
      <c r="M15">
        <f t="shared" si="2"/>
        <v>77.536748589305887</v>
      </c>
      <c r="N15">
        <f t="shared" si="2"/>
        <v>77.143945982613346</v>
      </c>
      <c r="O15">
        <f t="shared" si="2"/>
        <v>76.759245483539971</v>
      </c>
      <c r="P15">
        <f t="shared" si="2"/>
        <v>76.383724251996767</v>
      </c>
      <c r="Q15">
        <f t="shared" si="2"/>
        <v>76.018461361887432</v>
      </c>
      <c r="R15">
        <f t="shared" si="2"/>
        <v>75.664476435290453</v>
      </c>
      <c r="S15">
        <f t="shared" si="2"/>
        <v>75.322789594788389</v>
      </c>
      <c r="T15">
        <f t="shared" si="2"/>
        <v>74.994351905798311</v>
      </c>
      <c r="U15">
        <f t="shared" si="2"/>
        <v>74.680112414804896</v>
      </c>
      <c r="V15">
        <f t="shared" si="2"/>
        <v>74.380943447059977</v>
      </c>
      <c r="W15">
        <f t="shared" si="2"/>
        <v>74.097711608072473</v>
      </c>
      <c r="X15">
        <f t="shared" si="2"/>
        <v>73.831201223358363</v>
      </c>
      <c r="Y15">
        <f t="shared" si="2"/>
        <v>73.582186008896812</v>
      </c>
      <c r="Z15">
        <f t="shared" si="2"/>
        <v>73.351354031525702</v>
      </c>
      <c r="AA15">
        <f t="shared" si="2"/>
        <v>73.139376732295219</v>
      </c>
      <c r="AB15">
        <f t="shared" si="2"/>
        <v>72.946838726278855</v>
      </c>
      <c r="AC15">
        <f t="shared" si="2"/>
        <v>72.774300991661391</v>
      </c>
      <c r="AD15">
        <f t="shared" si="2"/>
        <v>72.622238618748284</v>
      </c>
      <c r="AE15">
        <f t="shared" si="2"/>
        <v>72.491095251391883</v>
      </c>
      <c r="AF15">
        <f t="shared" si="2"/>
        <v>72.381231546131048</v>
      </c>
      <c r="AG15">
        <f t="shared" si="2"/>
        <v>72.292968358625629</v>
      </c>
      <c r="AH15">
        <f t="shared" si="2"/>
        <v>72.226548200855234</v>
      </c>
      <c r="AI15">
        <f t="shared" si="2"/>
        <v>72.182165185139368</v>
      </c>
    </row>
  </sheetData>
  <conditionalFormatting sqref="F12:AJ12">
    <cfRule type="colorScale" priority="1">
      <colorScale>
        <cfvo type="min" val="0"/>
        <cfvo type="percentile" val="50"/>
        <cfvo type="max" val="0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AJ19"/>
  <sheetViews>
    <sheetView tabSelected="1" topLeftCell="A4" zoomScaleNormal="100" workbookViewId="0">
      <selection activeCell="L27" sqref="K27:L27"/>
    </sheetView>
  </sheetViews>
  <sheetFormatPr defaultRowHeight="14.4"/>
  <cols>
    <col min="2" max="2" width="10.44140625" bestFit="1" customWidth="1"/>
    <col min="6" max="6" width="12.6640625" bestFit="1" customWidth="1"/>
    <col min="7" max="7" width="12" bestFit="1" customWidth="1"/>
  </cols>
  <sheetData>
    <row r="1" spans="1:36">
      <c r="A1" s="1" t="s">
        <v>0</v>
      </c>
      <c r="B1" s="1">
        <v>0.1</v>
      </c>
    </row>
    <row r="2" spans="1:36">
      <c r="A2" s="1" t="s">
        <v>1</v>
      </c>
      <c r="B2" s="12">
        <f>0.1/30</f>
        <v>3.3333333333333335E-3</v>
      </c>
    </row>
    <row r="3" spans="1:36">
      <c r="A3" s="1" t="s">
        <v>2</v>
      </c>
      <c r="B3" s="3">
        <f>1</f>
        <v>1</v>
      </c>
    </row>
    <row r="4" spans="1:36">
      <c r="A4" s="1" t="s">
        <v>3</v>
      </c>
      <c r="B4" s="1">
        <v>500</v>
      </c>
      <c r="C4">
        <v>501</v>
      </c>
    </row>
    <row r="5" spans="1:36">
      <c r="A5" s="4"/>
      <c r="B5" s="4"/>
    </row>
    <row r="6" spans="1:36">
      <c r="A6" s="1" t="s">
        <v>4</v>
      </c>
      <c r="B6" s="1">
        <v>460</v>
      </c>
    </row>
    <row r="7" spans="1:36">
      <c r="A7" s="1" t="s">
        <v>5</v>
      </c>
      <c r="B7" s="1">
        <v>7800</v>
      </c>
    </row>
    <row r="8" spans="1:36">
      <c r="A8" s="1" t="s">
        <v>6</v>
      </c>
      <c r="B8" s="1">
        <v>46</v>
      </c>
    </row>
    <row r="9" spans="1:36">
      <c r="A9" s="4"/>
      <c r="B9" s="4"/>
    </row>
    <row r="10" spans="1:36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>
      <c r="A12" s="1" t="s">
        <v>8</v>
      </c>
      <c r="B12" s="1">
        <v>100</v>
      </c>
      <c r="E12" s="1" t="s">
        <v>7</v>
      </c>
      <c r="F12" s="1">
        <f>B13</f>
        <v>300</v>
      </c>
      <c r="G12" s="1">
        <v>187.48852069684807</v>
      </c>
      <c r="H12" s="1">
        <v>74.977041393696126</v>
      </c>
      <c r="I12" s="1">
        <v>30.486313527758579</v>
      </c>
      <c r="J12" s="1">
        <v>12.380212299433119</v>
      </c>
      <c r="K12" s="1">
        <v>5.0344534770960827</v>
      </c>
      <c r="L12" s="1">
        <v>2.0558120592583942</v>
      </c>
      <c r="M12" s="1">
        <v>0.85140760684117234</v>
      </c>
      <c r="N12" s="1">
        <v>0.36911720002259618</v>
      </c>
      <c r="O12" s="1">
        <v>0.18257589700424218</v>
      </c>
      <c r="P12" s="1">
        <v>0.11972915063933059</v>
      </c>
      <c r="Q12" s="1">
        <v>0.11216281004228315</v>
      </c>
      <c r="R12" s="1">
        <v>0.13409801884099432</v>
      </c>
      <c r="S12" s="1">
        <v>0.17784790906695849</v>
      </c>
      <c r="T12" s="1">
        <v>0.2441629418819973</v>
      </c>
      <c r="U12" s="1">
        <v>0.33874165051731914</v>
      </c>
      <c r="V12" s="1">
        <v>0.47141338804211014</v>
      </c>
      <c r="W12" s="1">
        <v>0.65664151311556229</v>
      </c>
      <c r="X12" s="1">
        <v>0.9148911032911049</v>
      </c>
      <c r="Y12" s="1">
        <v>1.2748053662254457</v>
      </c>
      <c r="Z12" s="1">
        <v>1.7763481806215706</v>
      </c>
      <c r="AA12" s="1">
        <v>2.4752276281813179</v>
      </c>
      <c r="AB12" s="1">
        <v>3.4490780203849871</v>
      </c>
      <c r="AC12" s="1">
        <v>4.8060815288483791</v>
      </c>
      <c r="AD12" s="1">
        <v>6.6969848912401098</v>
      </c>
      <c r="AE12" s="1">
        <v>9.3318451786147065</v>
      </c>
      <c r="AF12" s="1">
        <v>13.003364505841052</v>
      </c>
      <c r="AG12" s="1">
        <v>18.119405745633557</v>
      </c>
      <c r="AH12" s="1">
        <v>25.248301299962471</v>
      </c>
      <c r="AI12" s="1">
        <v>35.181988178794683</v>
      </c>
      <c r="AJ12" s="1">
        <f>B12</f>
        <v>100</v>
      </c>
    </row>
    <row r="13" spans="1:36">
      <c r="A13" s="8" t="s">
        <v>20</v>
      </c>
      <c r="B13" s="8">
        <v>300</v>
      </c>
    </row>
    <row r="14" spans="1:36">
      <c r="A14" s="6" t="s">
        <v>12</v>
      </c>
      <c r="B14" s="7"/>
      <c r="E14" t="s">
        <v>9</v>
      </c>
      <c r="G14">
        <f>(H$14*G$18)+G19</f>
        <v>141.65031885675799</v>
      </c>
      <c r="H14">
        <f t="shared" ref="H14:AI14" si="1">(I$14*H$18)+H19</f>
        <v>56.425803881228767</v>
      </c>
      <c r="I14">
        <f t="shared" si="1"/>
        <v>22.837216228787337</v>
      </c>
      <c r="J14">
        <f t="shared" si="1"/>
        <v>9.268232412421785</v>
      </c>
      <c r="K14">
        <f t="shared" si="1"/>
        <v>3.7652029781861058</v>
      </c>
      <c r="L14">
        <f t="shared" si="1"/>
        <v>1.5327885215642314</v>
      </c>
      <c r="M14">
        <f t="shared" si="1"/>
        <v>0.62827622520968052</v>
      </c>
      <c r="N14">
        <f t="shared" si="1"/>
        <v>0.26347375339803952</v>
      </c>
      <c r="O14">
        <f t="shared" si="1"/>
        <v>0.11870011748767298</v>
      </c>
      <c r="P14">
        <f t="shared" si="1"/>
        <v>6.4548866208129135E-2</v>
      </c>
      <c r="Q14">
        <f t="shared" si="1"/>
        <v>4.9008024840900805E-2</v>
      </c>
      <c r="R14">
        <f t="shared" si="1"/>
        <v>5.1662255550373362E-2</v>
      </c>
      <c r="S14">
        <f t="shared" si="1"/>
        <v>6.5261244601986457E-2</v>
      </c>
      <c r="T14">
        <f t="shared" si="1"/>
        <v>8.8150579813485674E-2</v>
      </c>
      <c r="U14">
        <f t="shared" si="1"/>
        <v>0.1218394974630317</v>
      </c>
      <c r="V14">
        <f t="shared" si="1"/>
        <v>0.16903250563998334</v>
      </c>
      <c r="W14">
        <f t="shared" si="1"/>
        <v>0.23607221285587304</v>
      </c>
      <c r="X14">
        <f t="shared" si="1"/>
        <v>0.32710964533512332</v>
      </c>
      <c r="Y14">
        <f t="shared" si="1"/>
        <v>0.4601280163091957</v>
      </c>
      <c r="Z14">
        <f t="shared" si="1"/>
        <v>0.63044510050442626</v>
      </c>
      <c r="AA14">
        <f t="shared" si="1"/>
        <v>0.90481462484682862</v>
      </c>
      <c r="AB14">
        <f t="shared" si="1"/>
        <v>1.1960201155597439</v>
      </c>
      <c r="AC14">
        <f t="shared" si="1"/>
        <v>1.8259589994915886</v>
      </c>
      <c r="AD14">
        <f t="shared" si="1"/>
        <v>2.152263256109566</v>
      </c>
      <c r="AE14">
        <f t="shared" si="1"/>
        <v>3.963692464110653</v>
      </c>
      <c r="AF14">
        <f t="shared" si="1"/>
        <v>3.1499564163934508</v>
      </c>
      <c r="AG14">
        <f t="shared" si="1"/>
        <v>10.227834517881901</v>
      </c>
      <c r="AH14">
        <f t="shared" si="1"/>
        <v>-0.11212276287009004</v>
      </c>
      <c r="AI14">
        <f t="shared" si="1"/>
        <v>35.181988178794683</v>
      </c>
    </row>
    <row r="15" spans="1:36">
      <c r="A15" s="8" t="s">
        <v>13</v>
      </c>
      <c r="B15" s="7"/>
      <c r="E15" s="5" t="s">
        <v>11</v>
      </c>
      <c r="F15">
        <v>9200</v>
      </c>
      <c r="G15">
        <f>-$B$8*(G12-F12)/$B$2</f>
        <v>1552658.4143834964</v>
      </c>
      <c r="H15">
        <f t="shared" ref="H15:AI15" si="2">-$B$8*(H12-G12)/$B$2</f>
        <v>1552658.4143834966</v>
      </c>
      <c r="I15">
        <f t="shared" si="2"/>
        <v>613972.04454993806</v>
      </c>
      <c r="J15">
        <f t="shared" si="2"/>
        <v>249864.19695089135</v>
      </c>
      <c r="K15">
        <f t="shared" si="2"/>
        <v>101371.47174825108</v>
      </c>
      <c r="L15">
        <f t="shared" si="2"/>
        <v>41105.251566160099</v>
      </c>
      <c r="M15">
        <f t="shared" si="2"/>
        <v>16620.781443357657</v>
      </c>
      <c r="N15">
        <f t="shared" si="2"/>
        <v>6655.6076140963496</v>
      </c>
      <c r="O15">
        <f t="shared" si="2"/>
        <v>2574.2699816532854</v>
      </c>
      <c r="P15">
        <f t="shared" si="2"/>
        <v>867.28509983577976</v>
      </c>
      <c r="Q15">
        <f t="shared" si="2"/>
        <v>104.41550023925473</v>
      </c>
      <c r="R15">
        <f t="shared" si="2"/>
        <v>-302.70588142221408</v>
      </c>
      <c r="S15">
        <f t="shared" si="2"/>
        <v>-603.74848511830567</v>
      </c>
      <c r="T15">
        <f t="shared" si="2"/>
        <v>-915.14745284753553</v>
      </c>
      <c r="U15">
        <f t="shared" si="2"/>
        <v>-1305.1861791674412</v>
      </c>
      <c r="V15">
        <f t="shared" si="2"/>
        <v>-1830.8699778421158</v>
      </c>
      <c r="W15">
        <f t="shared" si="2"/>
        <v>-2556.1481260136397</v>
      </c>
      <c r="X15">
        <f t="shared" si="2"/>
        <v>-3563.8443444224881</v>
      </c>
      <c r="Y15">
        <f t="shared" si="2"/>
        <v>-4966.8168284939029</v>
      </c>
      <c r="Z15">
        <f t="shared" si="2"/>
        <v>-6921.290838666524</v>
      </c>
      <c r="AA15">
        <f t="shared" si="2"/>
        <v>-9644.5363763245114</v>
      </c>
      <c r="AB15">
        <f t="shared" si="2"/>
        <v>-13439.135412410635</v>
      </c>
      <c r="AC15">
        <f t="shared" si="2"/>
        <v>-18726.648416794807</v>
      </c>
      <c r="AD15">
        <f t="shared" si="2"/>
        <v>-26094.46640100588</v>
      </c>
      <c r="AE15">
        <f t="shared" si="2"/>
        <v>-36361.071965769435</v>
      </c>
      <c r="AF15">
        <f t="shared" si="2"/>
        <v>-50666.96671572356</v>
      </c>
      <c r="AG15">
        <f t="shared" si="2"/>
        <v>-70601.369109136562</v>
      </c>
      <c r="AH15">
        <f t="shared" si="2"/>
        <v>-98378.758649739</v>
      </c>
      <c r="AI15">
        <f t="shared" si="2"/>
        <v>-137084.87892788451</v>
      </c>
    </row>
    <row r="16" spans="1:36">
      <c r="A16" s="8" t="s">
        <v>15</v>
      </c>
      <c r="B16" s="7">
        <f>B8/B2^2</f>
        <v>4139999.9999999991</v>
      </c>
    </row>
    <row r="17" spans="1:36">
      <c r="A17" s="8" t="s">
        <v>16</v>
      </c>
      <c r="B17" s="7">
        <f>(2*B8)/(B2^2)+(B7*B6)/B3</f>
        <v>11867999.999999998</v>
      </c>
      <c r="E17" t="s">
        <v>18</v>
      </c>
      <c r="G17">
        <f>-$B$7*$B$6/$B$3*G12</f>
        <v>-672708812.26029086</v>
      </c>
      <c r="H17">
        <f t="shared" ref="H17:AJ17" si="3">-$B$7*$B$6/$B$3*I12</f>
        <v>-109384892.93759778</v>
      </c>
      <c r="I17">
        <f t="shared" si="3"/>
        <v>-44420201.730366029</v>
      </c>
      <c r="J17">
        <f t="shared" si="3"/>
        <v>-18063619.075820744</v>
      </c>
      <c r="K17">
        <f t="shared" si="3"/>
        <v>-7376253.6686191186</v>
      </c>
      <c r="L17">
        <f t="shared" si="3"/>
        <v>-3054850.4933461263</v>
      </c>
      <c r="M17">
        <f t="shared" si="3"/>
        <v>-1324392.5136810751</v>
      </c>
      <c r="N17">
        <f t="shared" si="3"/>
        <v>-655082.31845122098</v>
      </c>
      <c r="O17">
        <f t="shared" si="3"/>
        <v>-429588.19249391818</v>
      </c>
      <c r="P17">
        <f t="shared" si="3"/>
        <v>-402440.16243171197</v>
      </c>
      <c r="Q17">
        <f t="shared" si="3"/>
        <v>-481143.69160148758</v>
      </c>
      <c r="R17">
        <f t="shared" si="3"/>
        <v>-638118.29773224704</v>
      </c>
      <c r="S17">
        <f t="shared" si="3"/>
        <v>-876056.63547260629</v>
      </c>
      <c r="T17">
        <f t="shared" si="3"/>
        <v>-1215405.042056141</v>
      </c>
      <c r="U17">
        <f t="shared" si="3"/>
        <v>-1691431.2362950912</v>
      </c>
      <c r="V17">
        <f t="shared" si="3"/>
        <v>-2356029.7490586373</v>
      </c>
      <c r="W17">
        <f t="shared" si="3"/>
        <v>-3282629.2786084842</v>
      </c>
      <c r="X17">
        <f t="shared" si="3"/>
        <v>-4574001.6540168989</v>
      </c>
      <c r="Y17">
        <f t="shared" si="3"/>
        <v>-6373537.2720701955</v>
      </c>
      <c r="Z17">
        <f t="shared" si="3"/>
        <v>-8881116.7299145684</v>
      </c>
      <c r="AA17">
        <f t="shared" si="3"/>
        <v>-12375291.937141335</v>
      </c>
      <c r="AB17">
        <f t="shared" si="3"/>
        <v>-17244220.525507983</v>
      </c>
      <c r="AC17">
        <f t="shared" si="3"/>
        <v>-24028781.789769515</v>
      </c>
      <c r="AD17">
        <f t="shared" si="3"/>
        <v>-33482660.500869568</v>
      </c>
      <c r="AE17">
        <f t="shared" si="3"/>
        <v>-46656071.846957698</v>
      </c>
      <c r="AF17">
        <f t="shared" si="3"/>
        <v>-65012427.815333202</v>
      </c>
      <c r="AG17">
        <f t="shared" si="3"/>
        <v>-90590905.064265341</v>
      </c>
      <c r="AH17">
        <f t="shared" si="3"/>
        <v>-126232973.58551532</v>
      </c>
      <c r="AI17">
        <f t="shared" si="3"/>
        <v>-358800000</v>
      </c>
      <c r="AJ17">
        <f t="shared" si="3"/>
        <v>0</v>
      </c>
    </row>
    <row r="18" spans="1:36">
      <c r="A18" s="10" t="s">
        <v>17</v>
      </c>
      <c r="B18" s="7">
        <f>B16</f>
        <v>4139999.9999999991</v>
      </c>
      <c r="E18" t="s">
        <v>12</v>
      </c>
      <c r="F18">
        <v>0</v>
      </c>
      <c r="G18">
        <f>-$B$16/($B$17+$B$18*F18)</f>
        <v>-0.34883720930232553</v>
      </c>
      <c r="H18">
        <f>-($B$16/($B$17+$B$18*G18))</f>
        <v>-0.39716748768472904</v>
      </c>
      <c r="I18">
        <f t="shared" ref="I18:AI18" si="4">-($B$16/($B$17+$B$18*H18))</f>
        <v>-0.40494040593779607</v>
      </c>
      <c r="J18">
        <f t="shared" si="4"/>
        <v>-0.4062190081621499</v>
      </c>
      <c r="K18">
        <f t="shared" si="4"/>
        <v>-0.40643010492156101</v>
      </c>
      <c r="L18">
        <f t="shared" si="4"/>
        <v>-0.40646497802255066</v>
      </c>
      <c r="M18">
        <f t="shared" si="4"/>
        <v>-0.40647073962099717</v>
      </c>
      <c r="N18">
        <f t="shared" si="4"/>
        <v>-0.40647169154566137</v>
      </c>
      <c r="O18">
        <f t="shared" si="4"/>
        <v>-0.40647184882198806</v>
      </c>
      <c r="P18">
        <f t="shared" si="4"/>
        <v>-0.40647187480708435</v>
      </c>
      <c r="Q18">
        <f t="shared" si="4"/>
        <v>-0.40647187910032606</v>
      </c>
      <c r="R18">
        <f t="shared" si="4"/>
        <v>-0.40647187980965277</v>
      </c>
      <c r="S18">
        <f t="shared" si="4"/>
        <v>-0.4064718799268473</v>
      </c>
      <c r="T18">
        <f t="shared" si="4"/>
        <v>-0.40647187994621015</v>
      </c>
      <c r="U18">
        <f t="shared" si="4"/>
        <v>-0.40647187994940925</v>
      </c>
      <c r="V18">
        <f t="shared" si="4"/>
        <v>-0.40647187994993778</v>
      </c>
      <c r="W18">
        <f t="shared" si="4"/>
        <v>-0.40647187995002515</v>
      </c>
      <c r="X18">
        <f t="shared" si="4"/>
        <v>-0.40647187995003953</v>
      </c>
      <c r="Y18">
        <f t="shared" si="4"/>
        <v>-0.40647187995004191</v>
      </c>
      <c r="Z18">
        <f t="shared" si="4"/>
        <v>-0.40647187995004236</v>
      </c>
      <c r="AA18">
        <f t="shared" si="4"/>
        <v>-0.40647187995004236</v>
      </c>
      <c r="AB18">
        <f t="shared" si="4"/>
        <v>-0.40647187995004236</v>
      </c>
      <c r="AC18">
        <f t="shared" si="4"/>
        <v>-0.40647187995004236</v>
      </c>
      <c r="AD18">
        <f t="shared" si="4"/>
        <v>-0.40647187995004236</v>
      </c>
      <c r="AE18">
        <f t="shared" si="4"/>
        <v>-0.40647187995004236</v>
      </c>
      <c r="AF18">
        <f t="shared" si="4"/>
        <v>-0.40647187995004236</v>
      </c>
      <c r="AG18">
        <f t="shared" si="4"/>
        <v>-0.40647187995004236</v>
      </c>
      <c r="AH18">
        <f t="shared" si="4"/>
        <v>-0.40647187995004236</v>
      </c>
      <c r="AI18">
        <f t="shared" si="4"/>
        <v>-0.40647187995004236</v>
      </c>
    </row>
    <row r="19" spans="1:36">
      <c r="A19" s="5"/>
      <c r="E19" s="11" t="s">
        <v>19</v>
      </c>
      <c r="F19">
        <v>300</v>
      </c>
      <c r="G19">
        <f>(F19*$B$18-G17)/($B$17-$F$18*$B$18)</f>
        <v>161.33373881532617</v>
      </c>
      <c r="H19">
        <f t="shared" ref="H19:AI19" si="5">(G19*$B$18-H17)/($B$17-$F$18*$B$18)</f>
        <v>65.496003676529156</v>
      </c>
      <c r="I19">
        <f t="shared" si="5"/>
        <v>26.590298024199253</v>
      </c>
      <c r="J19">
        <f t="shared" si="5"/>
        <v>10.797729431749717</v>
      </c>
      <c r="K19">
        <f t="shared" si="5"/>
        <v>4.3881743778280207</v>
      </c>
      <c r="L19">
        <f t="shared" si="5"/>
        <v>1.7881608036361754</v>
      </c>
      <c r="M19">
        <f t="shared" si="5"/>
        <v>0.73537059662410187</v>
      </c>
      <c r="N19">
        <f t="shared" si="5"/>
        <v>0.3117219909399227</v>
      </c>
      <c r="O19">
        <f t="shared" si="5"/>
        <v>0.14493741447465439</v>
      </c>
      <c r="P19">
        <f t="shared" si="5"/>
        <v>8.4469249945802252E-2</v>
      </c>
      <c r="Q19">
        <f t="shared" si="5"/>
        <v>7.0007278933022318E-2</v>
      </c>
      <c r="R19">
        <f t="shared" si="5"/>
        <v>7.8189116322460353E-2</v>
      </c>
      <c r="S19">
        <f t="shared" si="5"/>
        <v>0.10109197649541558</v>
      </c>
      <c r="T19">
        <f t="shared" si="5"/>
        <v>0.13767490939898566</v>
      </c>
      <c r="U19">
        <f t="shared" si="5"/>
        <v>0.19054645780307486</v>
      </c>
      <c r="V19">
        <f t="shared" si="5"/>
        <v>0.26498922180345191</v>
      </c>
      <c r="W19">
        <f t="shared" si="5"/>
        <v>0.3690330853450266</v>
      </c>
      <c r="X19">
        <f t="shared" si="5"/>
        <v>0.51413874514200453</v>
      </c>
      <c r="Y19">
        <f t="shared" si="5"/>
        <v>0.71638622151652298</v>
      </c>
      <c r="Z19">
        <f t="shared" si="5"/>
        <v>0.99822680207220893</v>
      </c>
      <c r="AA19">
        <f t="shared" si="5"/>
        <v>1.3909631696764646</v>
      </c>
      <c r="AB19">
        <f t="shared" si="5"/>
        <v>1.9382211027947882</v>
      </c>
      <c r="AC19">
        <f t="shared" si="5"/>
        <v>2.7007934913498435</v>
      </c>
      <c r="AD19">
        <f t="shared" si="5"/>
        <v>3.7633927835404388</v>
      </c>
      <c r="AE19">
        <f t="shared" si="5"/>
        <v>5.2440611704427971</v>
      </c>
      <c r="AF19">
        <f t="shared" si="5"/>
        <v>7.3072835406948418</v>
      </c>
      <c r="AG19">
        <f t="shared" si="5"/>
        <v>10.182259767672901</v>
      </c>
      <c r="AH19">
        <f t="shared" si="5"/>
        <v>14.188366112544752</v>
      </c>
      <c r="AI19">
        <f t="shared" si="5"/>
        <v>35.181988178794683</v>
      </c>
    </row>
  </sheetData>
  <conditionalFormatting sqref="F12:AJ12">
    <cfRule type="colorScale" priority="1">
      <colorScale>
        <cfvo type="min" val="0"/>
        <cfvo type="percentile" val="50"/>
        <cfvo type="max" val="0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Анастасия</cp:lastModifiedBy>
  <dcterms:created xsi:type="dcterms:W3CDTF">2021-02-25T07:14:50Z</dcterms:created>
  <dcterms:modified xsi:type="dcterms:W3CDTF">2021-09-29T15:28:13Z</dcterms:modified>
</cp:coreProperties>
</file>